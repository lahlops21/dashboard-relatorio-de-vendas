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36129382024.2m\Downloads\"/>
    </mc:Choice>
  </mc:AlternateContent>
  <xr:revisionPtr revIDLastSave="0" documentId="13_ncr:1_{3F7559A0-B222-4494-B9C1-34148D5D9715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3" l="1"/>
  <c r="G34" i="3"/>
  <c r="G37" i="3"/>
</calcChain>
</file>

<file path=xl/sharedStrings.xml><?xml version="1.0" encoding="utf-8"?>
<sst xmlns="http://schemas.openxmlformats.org/spreadsheetml/2006/main" count="2025" uniqueCount="323">
  <si>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</si>
  <si>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</si>
  <si>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</si>
  <si>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</si>
  <si>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</si>
  <si>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</si>
  <si>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</si>
  <si>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</si>
  <si>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</si>
  <si>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</si>
  <si>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</si>
  <si>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</si>
  <si>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</si>
  <si>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</si>
  <si>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</si>
  <si>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</si>
  <si>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</si>
  <si>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</si>
  <si>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</si>
  <si>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</si>
  <si>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</si>
  <si>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</si>
  <si>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</si>
  <si>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</si>
  <si>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</si>
  <si>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</si>
  <si>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</si>
  <si>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</si>
  <si>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</si>
  <si>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</si>
  <si>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</si>
  <si>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</si>
  <si>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</si>
  <si>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</si>
  <si>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</si>
  <si>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</si>
  <si>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</si>
  <si>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</si>
  <si>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</si>
  <si>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</si>
  <si>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</si>
  <si>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</si>
  <si>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</si>
  <si>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</si>
  <si>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</si>
  <si>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</si>
  <si>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</si>
  <si>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</si>
  <si>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</si>
  <si>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</si>
  <si>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</si>
  <si>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</si>
  <si>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</si>
  <si>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</si>
  <si>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</si>
  <si>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</si>
  <si>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</si>
  <si>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</si>
  <si>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</si>
  <si>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</si>
  <si>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</si>
  <si>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</si>
  <si>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</si>
  <si>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</si>
  <si>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</si>
  <si>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</si>
  <si>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</si>
  <si>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</si>
  <si>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</si>
  <si>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</si>
  <si>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</si>
  <si>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</si>
  <si>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</si>
  <si>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</si>
  <si>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</si>
  <si>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</si>
  <si>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</si>
  <si>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</si>
  <si>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</si>
  <si>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</si>
  <si>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</si>
  <si>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</si>
  <si>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</si>
  <si>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</si>
  <si>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</si>
  <si>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</si>
  <si>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</si>
  <si>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</si>
  <si>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</si>
  <si>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</si>
  <si>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</si>
  <si>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</si>
  <si>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</si>
  <si>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</si>
  <si>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</si>
  <si>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</si>
  <si>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</si>
  <si>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</si>
  <si>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</si>
  <si>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</si>
  <si>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</si>
  <si>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</si>
  <si>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</si>
  <si>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</si>
  <si>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</si>
  <si>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</si>
  <si>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</si>
  <si>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</si>
  <si>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</si>
  <si>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</si>
  <si>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</si>
  <si>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</si>
  <si>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</si>
  <si>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</si>
  <si>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</si>
  <si>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</si>
  <si>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</si>
  <si>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</si>
  <si>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</si>
  <si>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</si>
  <si>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</si>
  <si>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</si>
  <si>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</si>
  <si>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</si>
  <si>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</si>
  <si>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</si>
  <si>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</si>
  <si>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</si>
  <si>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</si>
  <si>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</si>
  <si>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</si>
  <si>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</si>
  <si>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</si>
  <si>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</si>
  <si>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</si>
  <si>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</si>
  <si>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</si>
  <si>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</si>
  <si>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</si>
  <si>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</si>
  <si>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</si>
  <si>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</si>
  <si>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</si>
  <si>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</si>
  <si>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</si>
  <si>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</si>
  <si>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</si>
  <si>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</si>
  <si>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</si>
  <si>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</si>
  <si>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</si>
  <si>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</si>
  <si>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</si>
  <si>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</si>
  <si>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</si>
  <si>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</si>
  <si>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</si>
  <si>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</si>
  <si>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</si>
  <si>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</si>
  <si>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</si>
  <si>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</si>
  <si>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</si>
  <si>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</si>
  <si>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</si>
  <si>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</si>
  <si>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</si>
  <si>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</si>
  <si>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</si>
  <si>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</si>
  <si>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</si>
  <si>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</si>
  <si>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</si>
  <si>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</si>
  <si>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</si>
  <si>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</si>
  <si>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</si>
  <si>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</si>
  <si>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</si>
  <si>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</si>
  <si>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</si>
  <si>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</si>
  <si>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</si>
  <si>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</si>
  <si>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</si>
  <si>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</si>
  <si>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</si>
  <si>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</si>
  <si>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</si>
  <si>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</si>
  <si>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</si>
  <si>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</si>
  <si>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</si>
  <si>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</si>
  <si>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</si>
  <si>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</si>
  <si>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</si>
  <si>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</si>
  <si>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</si>
  <si>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</si>
  <si>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</si>
  <si>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</si>
  <si>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</si>
  <si>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</si>
  <si>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</si>
  <si>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</si>
  <si>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</si>
  <si>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</si>
  <si>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</si>
  <si>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</si>
  <si>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</si>
  <si>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</si>
  <si>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</si>
  <si>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</si>
  <si>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</si>
  <si>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</si>
  <si>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</si>
  <si>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</si>
  <si>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</si>
  <si>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</si>
  <si>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</si>
  <si>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</si>
  <si>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</si>
  <si>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</si>
  <si>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</si>
  <si>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</si>
  <si>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</si>
  <si>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</si>
  <si>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</si>
  <si>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</si>
  <si>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</si>
  <si>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</si>
  <si>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</si>
  <si>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</si>
  <si>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</si>
  <si>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</si>
  <si>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</si>
  <si>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</si>
  <si>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</si>
  <si>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</si>
  <si>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</si>
  <si>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</si>
  <si>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</si>
  <si>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</si>
  <si>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</si>
  <si>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</si>
  <si>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</si>
  <si>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</si>
  <si>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</si>
  <si>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</si>
  <si>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</si>
  <si>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</si>
  <si>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</si>
  <si>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</si>
  <si>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</si>
  <si>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</si>
  <si>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</si>
  <si>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</si>
  <si>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</si>
  <si>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</si>
  <si>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</si>
  <si>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</si>
  <si>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</si>
  <si>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</si>
  <si>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</si>
  <si>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</si>
  <si>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</si>
  <si>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</si>
  <si>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</si>
  <si>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</si>
  <si>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</si>
  <si>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</si>
  <si>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</si>
  <si>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</si>
  <si>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</si>
  <si>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</si>
  <si>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</si>
  <si>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</si>
  <si>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</si>
  <si>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</si>
  <si>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</si>
  <si>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</si>
  <si>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</si>
  <si>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</si>
  <si>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</si>
  <si>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</si>
  <si>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</si>
  <si>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</si>
  <si>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</si>
  <si>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</si>
  <si>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</si>
  <si>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</si>
  <si>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</si>
  <si>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</si>
  <si>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</si>
  <si>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</si>
  <si>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</si>
  <si>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</si>
  <si>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</si>
  <si>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</si>
  <si>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</si>
  <si>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</si>
  <si>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</si>
  <si>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</si>
  <si>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</si>
  <si>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</si>
  <si>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</si>
  <si>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</si>
  <si>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</si>
  <si>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</si>
  <si>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</si>
  <si>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</si>
  <si>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</si>
  <si>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</si>
  <si>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</si>
  <si>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</si>
  <si>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r>
      <t>Pergunta de Negócio 1: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agregadas?)</t>
    </r>
  </si>
  <si>
    <r>
      <t xml:space="preserve">Pergunta de Negócio 2: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anuais </t>
    </r>
    <r>
      <rPr>
        <b/>
        <sz val="11"/>
        <color theme="1"/>
        <rFont val="Aptos Narrow"/>
        <family val="2"/>
        <scheme val="minor"/>
      </rPr>
      <t>separada por auto-renovação e não auto - renovação</t>
    </r>
  </si>
  <si>
    <t>XBOX GAME PASS SUBSCRIPTIONS SALES</t>
  </si>
  <si>
    <t>Pergunta de Negócio 3 :  Total de vendas de assitanaturas do EA Play</t>
  </si>
  <si>
    <t>Soma de EA Play Season Pass</t>
  </si>
  <si>
    <t>Pergunta de negócio 4: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</si>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</sst>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40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1" applyFont="1" applyBorder="1"/>
    <xf numFmtId="44" fontId="0" fillId="0" borderId="0" xfId="2" applyFont="1"/>
    <xf numFmtId="44" fontId="5" fillId="0" borderId="0" xfId="2" applyFont="1"/>
    <xf numFmtId="44" fontId="0" fillId="0" borderId="0" xfId="0" applyNumberFormat="1"/>
    <xf numFmtId="0" fontId="0" fillId="0" borderId="2" xfId="0" applyBorder="1"/>
    <xf numFmtId="0" fontId="4" fillId="0" borderId="2" xfId="1" applyFont="1" applyBorder="1" applyAlignment="1">
      <alignment horizontal="left" indent="11"/>
    </xf>
  </cellXfs>
  <cellStyles count="3">
    <cellStyle name="Moeda" xfId="2" builtinId="4"/>
    <cellStyle name="Normal" xfId="0" builtinId="0"/>
    <cellStyle name="Título 1" xfId="1" builtinId="16"/>
  </cellStyles>
  <dxfs count="44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z val="12"/>
        <color theme="0"/>
      </font>
      <fill>
        <patternFill>
          <fgColor theme="0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1F242E8-8B81-4308-AAD1-930CB3D89E05}">
      <tableStyleElement type="wholeTable" dxfId="29"/>
      <tableStyleElement type="headerRow" dxfId="28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[baseExbox.xlsx]C̳álculos!Tabela dinâmica4</c:name>
    <c:fmtId val="3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604144318157919E-2"/>
          <c:y val="0.19240293414225582"/>
          <c:w val="0.94481295345413918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C̳álculos!$C$22:$C$24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C̳álculos!$D$22:$D$24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D-4201-9CB7-848199491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8488335"/>
        <c:axId val="2028489295"/>
      </c:barChart>
      <c:catAx>
        <c:axId val="2028488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489295"/>
        <c:crosses val="autoZero"/>
        <c:auto val="1"/>
        <c:lblAlgn val="ctr"/>
        <c:lblOffset val="100"/>
        <c:noMultiLvlLbl val="0"/>
      </c:catAx>
      <c:valAx>
        <c:axId val="202848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2848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17</xdr:row>
      <xdr:rowOff>0</xdr:rowOff>
    </xdr:from>
    <xdr:ext cx="304800" cy="304800"/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DDEFAED-6C41-426F-8C67-A75B26DAEE6D}"/>
            </a:ext>
          </a:extLst>
        </xdr:cNvPr>
        <xdr:cNvSpPr>
          <a:spLocks noChangeAspect="1" noChangeArrowheads="1"/>
        </xdr:cNvSpPr>
      </xdr:nvSpPr>
      <xdr:spPr bwMode="auto">
        <a:xfrm>
          <a:off x="137350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04800"/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EACCAB0A-7115-4F44-A06E-29986A008B5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16</xdr:row>
      <xdr:rowOff>0</xdr:rowOff>
    </xdr:from>
    <xdr:ext cx="304800" cy="304800"/>
    <xdr:sp macro="" textlink="">
      <xdr:nvSpPr>
        <xdr:cNvPr id="4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D9B6827D-92E7-437E-8ECF-0E994756F46A}"/>
            </a:ext>
          </a:extLst>
        </xdr:cNvPr>
        <xdr:cNvSpPr>
          <a:spLocks noChangeAspect="1" noChangeArrowheads="1"/>
        </xdr:cNvSpPr>
      </xdr:nvSpPr>
      <xdr:spPr bwMode="auto">
        <a:xfrm>
          <a:off x="137350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C17FFDD-E029-4EAE-B160-DF5B27C46709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97194</xdr:colOff>
      <xdr:row>0</xdr:row>
      <xdr:rowOff>63500</xdr:rowOff>
    </xdr:from>
    <xdr:to>
      <xdr:col>3</xdr:col>
      <xdr:colOff>128296</xdr:colOff>
      <xdr:row>2</xdr:row>
      <xdr:rowOff>206375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BB6884-A69A-480A-8B22-AA9F5D303B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7" t="22005" r="72360" b="24082"/>
        <a:stretch/>
      </xdr:blipFill>
      <xdr:spPr>
        <a:xfrm>
          <a:off x="1922819" y="63500"/>
          <a:ext cx="761352" cy="746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307181</xdr:rowOff>
    </xdr:from>
    <xdr:to>
      <xdr:col>0</xdr:col>
      <xdr:colOff>1809750</xdr:colOff>
      <xdr:row>17</xdr:row>
      <xdr:rowOff>154780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F210B4E-35EC-4B84-A813-01EAEAA048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12181"/>
              <a:ext cx="1809750" cy="2295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152400</xdr:colOff>
      <xdr:row>4</xdr:row>
      <xdr:rowOff>295274</xdr:rowOff>
    </xdr:from>
    <xdr:to>
      <xdr:col>12</xdr:col>
      <xdr:colOff>333375</xdr:colOff>
      <xdr:row>10</xdr:row>
      <xdr:rowOff>152400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3876156-269F-7FDB-80FE-B10D98DD3D35}"/>
            </a:ext>
          </a:extLst>
        </xdr:cNvPr>
        <xdr:cNvGrpSpPr/>
      </xdr:nvGrpSpPr>
      <xdr:grpSpPr>
        <a:xfrm>
          <a:off x="2219325" y="1533524"/>
          <a:ext cx="5619750" cy="1638301"/>
          <a:chOff x="2245510" y="1488281"/>
          <a:chExt cx="5630087" cy="1631157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2C6ECED-AEE1-3042-7BDD-EC7A9389FE74}"/>
              </a:ext>
            </a:extLst>
          </xdr:cNvPr>
          <xdr:cNvSpPr/>
        </xdr:nvSpPr>
        <xdr:spPr>
          <a:xfrm>
            <a:off x="2250281" y="1500189"/>
            <a:ext cx="5619750" cy="1535905"/>
          </a:xfrm>
          <a:prstGeom prst="roundRect">
            <a:avLst>
              <a:gd name="adj" fmla="val 736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3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788F052-79B8-467B-8A1B-2ACDC9776496}"/>
              </a:ext>
            </a:extLst>
          </xdr:cNvPr>
          <xdr:cNvSpPr/>
        </xdr:nvSpPr>
        <xdr:spPr>
          <a:xfrm>
            <a:off x="4533899" y="1963342"/>
            <a:ext cx="3169445" cy="1026317"/>
          </a:xfrm>
          <a:prstGeom prst="roundRect">
            <a:avLst>
              <a:gd name="adj" fmla="val 1200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075F173-4395-4411-AD84-400CEFFE9875}" type="TxLink">
              <a:rPr lang="en-US" sz="40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R$ 600,00 </a:t>
            </a:fld>
            <a:endParaRPr lang="en-US" sz="40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087D2B8E-0E96-4AEB-A380-3B5B656867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499" y="1833563"/>
            <a:ext cx="1285875" cy="128587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F57EC058-AB33-F8F5-84A2-929D6DA5BFE0}"/>
              </a:ext>
            </a:extLst>
          </xdr:cNvPr>
          <xdr:cNvSpPr/>
        </xdr:nvSpPr>
        <xdr:spPr>
          <a:xfrm>
            <a:off x="2245510" y="1488281"/>
            <a:ext cx="5630087" cy="44053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246947</xdr:colOff>
      <xdr:row>4</xdr:row>
      <xdr:rowOff>295274</xdr:rowOff>
    </xdr:from>
    <xdr:to>
      <xdr:col>22</xdr:col>
      <xdr:colOff>419100</xdr:colOff>
      <xdr:row>10</xdr:row>
      <xdr:rowOff>84533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11C8F3C8-E546-35CF-7CE9-60A1605CCB41}"/>
            </a:ext>
          </a:extLst>
        </xdr:cNvPr>
        <xdr:cNvGrpSpPr/>
      </xdr:nvGrpSpPr>
      <xdr:grpSpPr>
        <a:xfrm>
          <a:off x="8362247" y="1533524"/>
          <a:ext cx="5658553" cy="1570434"/>
          <a:chOff x="8089215" y="1531101"/>
          <a:chExt cx="5637055" cy="1563333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F2CF8ACF-0FE0-0A4B-BDE9-36502253CB64}"/>
              </a:ext>
            </a:extLst>
          </xdr:cNvPr>
          <xdr:cNvSpPr/>
        </xdr:nvSpPr>
        <xdr:spPr>
          <a:xfrm>
            <a:off x="8093869" y="1533527"/>
            <a:ext cx="5619750" cy="1552612"/>
          </a:xfrm>
          <a:prstGeom prst="roundRect">
            <a:avLst>
              <a:gd name="adj" fmla="val 736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52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CD161E36-AE81-F109-79C1-78A0FA365693}"/>
              </a:ext>
            </a:extLst>
          </xdr:cNvPr>
          <xdr:cNvSpPr/>
        </xdr:nvSpPr>
        <xdr:spPr>
          <a:xfrm>
            <a:off x="10306049" y="2068117"/>
            <a:ext cx="3169445" cy="1026317"/>
          </a:xfrm>
          <a:prstGeom prst="roundRect">
            <a:avLst>
              <a:gd name="adj" fmla="val 1200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C13C7D0-4C36-42D9-A344-6CE984903762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R$ 940,00 </a:t>
            </a:fld>
            <a:endParaRPr lang="en-US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96CF1628-AB65-2C38-246D-F69050FE85E2}"/>
              </a:ext>
            </a:extLst>
          </xdr:cNvPr>
          <xdr:cNvSpPr/>
        </xdr:nvSpPr>
        <xdr:spPr>
          <a:xfrm>
            <a:off x="8089215" y="1531101"/>
            <a:ext cx="5637055" cy="44053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102BE7EC-8DB8-4E32-AC4C-F264D446E283}"/>
              </a:ext>
            </a:extLst>
          </xdr:cNvPr>
          <xdr:cNvGrpSpPr/>
        </xdr:nvGrpSpPr>
        <xdr:grpSpPr>
          <a:xfrm>
            <a:off x="8905876" y="2214561"/>
            <a:ext cx="1202532" cy="583989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435F79EF-906B-A1DD-CFEE-56DFE28273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DAEC7F28-8C40-0A60-B505-22F5F8E3C1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145256</xdr:colOff>
      <xdr:row>11</xdr:row>
      <xdr:rowOff>142876</xdr:rowOff>
    </xdr:from>
    <xdr:to>
      <xdr:col>22</xdr:col>
      <xdr:colOff>435885</xdr:colOff>
      <xdr:row>34</xdr:row>
      <xdr:rowOff>107156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AC24B9D6-0774-ADA3-A9A3-C92DCEA28C71}"/>
            </a:ext>
          </a:extLst>
        </xdr:cNvPr>
        <xdr:cNvGrpSpPr/>
      </xdr:nvGrpSpPr>
      <xdr:grpSpPr>
        <a:xfrm>
          <a:off x="2212181" y="3352801"/>
          <a:ext cx="11825404" cy="4345780"/>
          <a:chOff x="2217236" y="3333751"/>
          <a:chExt cx="11463045" cy="434578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BB84E8C5-8955-26E7-198B-97F3DE9B2313}"/>
              </a:ext>
            </a:extLst>
          </xdr:cNvPr>
          <xdr:cNvGrpSpPr/>
        </xdr:nvGrpSpPr>
        <xdr:grpSpPr>
          <a:xfrm>
            <a:off x="2217236" y="3333751"/>
            <a:ext cx="11435238" cy="4345780"/>
            <a:chOff x="3198889" y="2202656"/>
            <a:chExt cx="4822031" cy="329803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2C49BC0-CCCD-D437-7D31-F65B1D3222AB}"/>
                </a:ext>
              </a:extLst>
            </xdr:cNvPr>
            <xdr:cNvSpPr/>
          </xdr:nvSpPr>
          <xdr:spPr>
            <a:xfrm>
              <a:off x="3198889" y="2202656"/>
              <a:ext cx="4822031" cy="3298031"/>
            </a:xfrm>
            <a:prstGeom prst="roundRect">
              <a:avLst>
                <a:gd name="adj" fmla="val 331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85E1043-8FEA-44AE-A00A-37496057419C}"/>
                </a:ext>
              </a:extLst>
            </xdr:cNvPr>
            <xdr:cNvGraphicFramePr>
              <a:graphicFrameLocks/>
            </xdr:cNvGraphicFramePr>
          </xdr:nvGraphicFramePr>
          <xdr:xfrm>
            <a:off x="3427818" y="2576428"/>
            <a:ext cx="458628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22C06256-B8C9-4F51-99A3-8CDDBFEC5EDD}"/>
              </a:ext>
            </a:extLst>
          </xdr:cNvPr>
          <xdr:cNvSpPr/>
        </xdr:nvSpPr>
        <xdr:spPr>
          <a:xfrm>
            <a:off x="2226468" y="3333751"/>
            <a:ext cx="11453813" cy="44053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95250</xdr:colOff>
      <xdr:row>0</xdr:row>
      <xdr:rowOff>158750</xdr:rowOff>
    </xdr:from>
    <xdr:to>
      <xdr:col>0</xdr:col>
      <xdr:colOff>790575</xdr:colOff>
      <xdr:row>2</xdr:row>
      <xdr:rowOff>250825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8F3CCCDD-394E-4BB7-9FE4-9C57780E6E8B}"/>
            </a:ext>
          </a:extLst>
        </xdr:cNvPr>
        <xdr:cNvSpPr/>
      </xdr:nvSpPr>
      <xdr:spPr>
        <a:xfrm>
          <a:off x="95250" y="15875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2</xdr:row>
      <xdr:rowOff>349250</xdr:rowOff>
    </xdr:from>
    <xdr:to>
      <xdr:col>0</xdr:col>
      <xdr:colOff>1746250</xdr:colOff>
      <xdr:row>4</xdr:row>
      <xdr:rowOff>31750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5A8B0819-F742-F97D-5D39-A6322CB9B5D4}"/>
            </a:ext>
          </a:extLst>
        </xdr:cNvPr>
        <xdr:cNvSpPr/>
      </xdr:nvSpPr>
      <xdr:spPr>
        <a:xfrm>
          <a:off x="0" y="952500"/>
          <a:ext cx="1746250" cy="317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&gt; Bem-vinda,</a:t>
          </a:r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  Liana</a:t>
          </a:r>
          <a:endParaRPr lang="pt-BR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231774</xdr:colOff>
      <xdr:row>2</xdr:row>
      <xdr:rowOff>374650</xdr:rowOff>
    </xdr:from>
    <xdr:to>
      <xdr:col>13</xdr:col>
      <xdr:colOff>254000</xdr:colOff>
      <xdr:row>4</xdr:row>
      <xdr:rowOff>15876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531B7711-8A49-4920-8735-2CFA37E29E6F}"/>
            </a:ext>
          </a:extLst>
        </xdr:cNvPr>
        <xdr:cNvSpPr/>
      </xdr:nvSpPr>
      <xdr:spPr>
        <a:xfrm>
          <a:off x="2057399" y="977900"/>
          <a:ext cx="6276976" cy="27622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pt-BR" sz="1200" b="1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 01/01/2024</a:t>
          </a:r>
          <a:r>
            <a:rPr lang="pt-BR" sz="1200" b="1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- 31/12/2024 | Update date: 12/11/2024 09:00:00  </a:t>
          </a:r>
          <a:endParaRPr lang="pt-BR" sz="1200" b="1">
            <a:solidFill>
              <a:schemeClr val="bg2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S 2024.2M" refreshedDate="45973.571287268518" createdVersion="8" refreshedVersion="8" minRefreshableVersion="3" recordCount="295" xr:uid="{C82E0A20-A195-4316-A60F-306A840D30C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661655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4309A-907D-4707-A62F-AD0AA75DF218}" name="Tabela dinâmica6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48:C5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2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2E4D2-615B-4D11-85CF-392CA09504D9}" name="tbl_easeasonpass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3:D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2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9D50D-2B85-4ECD-83EC-E4C0EEB6ED1A}" name="Tabela dinâ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1:D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24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C3502-68CB-461D-B411-C656A8C1DEEF}" name="tbl_annual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9:D11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Soma de Total Value" fld="12" baseField="0" baseItem="0"/>
  </dataFields>
  <formats count="1">
    <format dxfId="2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0DB5FC8-86F2-49C0-9149-74C8C87E16FD}" sourceName="Subscription Type">
  <pivotTables>
    <pivotTable tabId="3" name="Tabela dinâmica4"/>
    <pivotTable tabId="3" name="tbl_easeasonpass_total"/>
    <pivotTable tabId="3" name="tbl_annual_total"/>
    <pivotTable tabId="3" name="Tabela dinâmica6"/>
  </pivotTables>
  <data>
    <tabular pivotCacheId="96616553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BCC639B-02D3-4D67-BE86-49509AF9C93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3">
  <tableColumns count="13">
    <tableColumn id="1" xr3:uid="{C4A90516-688A-46BF-9167-EA16C2A8A652}" name="Subscriber ID" dataDxfId="42"/>
    <tableColumn id="2" xr3:uid="{53DD39D0-2220-4121-9E9D-4EAA7E151C0F}" name="Name" dataDxfId="41"/>
    <tableColumn id="3" xr3:uid="{4F5FF271-4C57-4BE0-8F2C-F82C8551625C}" name="Plan" dataDxfId="40"/>
    <tableColumn id="4" xr3:uid="{8C17EB93-79B9-4E55-B8F7-BEB82F8253E9}" name="Start Date" dataDxfId="39"/>
    <tableColumn id="5" xr3:uid="{48CEDF9B-1689-482A-A828-5CCE7713264A}" name="Auto Renewal" dataDxfId="38"/>
    <tableColumn id="6" xr3:uid="{78B82374-9AA7-4E38-AE4F-78CDE6C83720}" name="Subscription Price" dataDxfId="37" dataCellStyle="Moeda"/>
    <tableColumn id="7" xr3:uid="{F2433F68-AF33-49D0-B1FB-19A396074EDE}" name="Subscription Type" dataDxfId="36"/>
    <tableColumn id="8" xr3:uid="{FD4D9C95-F6E5-4933-9068-A71FF7DF9343}" name="EA Play Season Pass" dataDxfId="35"/>
    <tableColumn id="13" xr3:uid="{978DD0D2-834E-4CE4-A39B-30976086932F}" name="EA Play Season Pass_x000a_Price" dataDxfId="34" dataCellStyle="Moeda"/>
    <tableColumn id="9" xr3:uid="{6E29F111-C395-4580-9DAD-3407D9E8B1A4}" name="Minecraft Season Pass" dataDxfId="33"/>
    <tableColumn id="10" xr3:uid="{EF544EAA-7F25-4FD5-A10E-8E62804DB9E3}" name="Minecraft Season Pass Price" dataDxfId="32" dataCellStyle="Moeda"/>
    <tableColumn id="11" xr3:uid="{7F6EB64A-1F07-4E48-9F0F-AC7D9DCD26F8}" name="Coupon Value" dataDxfId="31" dataCellStyle="Moeda"/>
    <tableColumn id="12" xr3:uid="{2B04ABC8-DE6F-426E-ADC0-D8AFC68CA58E}" name="Total Value" dataDxfId="3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21.5703125" customWidth="1"/>
    <col min="3" max="3" width="26.28515625" customWidth="1"/>
    <col min="4" max="4" width="17.140625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5" customWidth="1"/>
    <col min="13" max="13" width="18.5703125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G52"/>
  <sheetViews>
    <sheetView showGridLines="0" topLeftCell="A7" zoomScaleNormal="100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9.28515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3:4" x14ac:dyDescent="0.25">
      <c r="C6" t="s">
        <v>316</v>
      </c>
    </row>
    <row r="9" spans="3:4" x14ac:dyDescent="0.25">
      <c r="C9" s="13" t="s">
        <v>314</v>
      </c>
      <c r="D9" t="s">
        <v>313</v>
      </c>
    </row>
    <row r="10" spans="3:4" x14ac:dyDescent="0.25">
      <c r="C10" s="14" t="s">
        <v>24</v>
      </c>
      <c r="D10" s="12">
        <v>1754</v>
      </c>
    </row>
    <row r="11" spans="3:4" x14ac:dyDescent="0.25">
      <c r="C11" s="14" t="s">
        <v>315</v>
      </c>
      <c r="D11" s="18">
        <v>1754</v>
      </c>
    </row>
    <row r="14" spans="3:4" x14ac:dyDescent="0.25">
      <c r="C14" s="14"/>
      <c r="D14" s="12"/>
    </row>
    <row r="15" spans="3:4" x14ac:dyDescent="0.25">
      <c r="C15" s="14"/>
      <c r="D15" s="12"/>
    </row>
    <row r="16" spans="3:4" x14ac:dyDescent="0.25">
      <c r="C16" s="14"/>
      <c r="D16" s="12"/>
    </row>
    <row r="17" spans="2:4" x14ac:dyDescent="0.25">
      <c r="C17" t="s">
        <v>317</v>
      </c>
    </row>
    <row r="19" spans="2:4" x14ac:dyDescent="0.25">
      <c r="C19" s="13" t="s">
        <v>16</v>
      </c>
      <c r="D19" t="s">
        <v>24</v>
      </c>
    </row>
    <row r="21" spans="2:4" x14ac:dyDescent="0.25">
      <c r="C21" s="13" t="s">
        <v>314</v>
      </c>
      <c r="D21" t="s">
        <v>313</v>
      </c>
    </row>
    <row r="22" spans="2:4" x14ac:dyDescent="0.25">
      <c r="C22" s="14" t="s">
        <v>23</v>
      </c>
      <c r="D22" s="12">
        <v>217</v>
      </c>
    </row>
    <row r="23" spans="2:4" x14ac:dyDescent="0.25">
      <c r="C23" s="14" t="s">
        <v>19</v>
      </c>
      <c r="D23" s="12">
        <v>1537</v>
      </c>
    </row>
    <row r="24" spans="2:4" x14ac:dyDescent="0.25">
      <c r="C24" s="14" t="s">
        <v>315</v>
      </c>
      <c r="D24" s="18">
        <v>1754</v>
      </c>
    </row>
    <row r="29" spans="2:4" x14ac:dyDescent="0.25">
      <c r="B29" t="s">
        <v>319</v>
      </c>
    </row>
    <row r="31" spans="2:4" x14ac:dyDescent="0.25">
      <c r="C31" s="13" t="s">
        <v>16</v>
      </c>
      <c r="D31" t="s">
        <v>24</v>
      </c>
    </row>
    <row r="33" spans="2:7" x14ac:dyDescent="0.25">
      <c r="C33" s="13" t="s">
        <v>314</v>
      </c>
      <c r="D33" t="s">
        <v>320</v>
      </c>
    </row>
    <row r="34" spans="2:7" x14ac:dyDescent="0.25">
      <c r="C34" s="14" t="s">
        <v>22</v>
      </c>
      <c r="D34" s="12">
        <v>0</v>
      </c>
      <c r="G34" s="16">
        <f>GETPIVOTDATA("EA Play Season Pass
Price",$C$33)</f>
        <v>600</v>
      </c>
    </row>
    <row r="35" spans="2:7" x14ac:dyDescent="0.25">
      <c r="C35" s="14" t="s">
        <v>26</v>
      </c>
      <c r="D35" s="12">
        <v>0</v>
      </c>
    </row>
    <row r="36" spans="2:7" x14ac:dyDescent="0.25">
      <c r="C36" s="14" t="s">
        <v>18</v>
      </c>
      <c r="D36" s="12">
        <v>600</v>
      </c>
    </row>
    <row r="37" spans="2:7" x14ac:dyDescent="0.25">
      <c r="C37" s="14" t="s">
        <v>315</v>
      </c>
      <c r="D37" s="18">
        <v>600</v>
      </c>
      <c r="G37" s="16">
        <f>GETPIVOTDATA("EA Play Season Pass
Price",C̳álculos!$C$33)</f>
        <v>600</v>
      </c>
    </row>
    <row r="43" spans="2:7" x14ac:dyDescent="0.25">
      <c r="B43" t="s">
        <v>321</v>
      </c>
    </row>
    <row r="46" spans="2:7" x14ac:dyDescent="0.25">
      <c r="B46" s="13" t="s">
        <v>16</v>
      </c>
      <c r="C46" t="s">
        <v>24</v>
      </c>
    </row>
    <row r="48" spans="2:7" x14ac:dyDescent="0.25">
      <c r="B48" s="13" t="s">
        <v>314</v>
      </c>
      <c r="C48" t="s">
        <v>322</v>
      </c>
    </row>
    <row r="49" spans="2:4" x14ac:dyDescent="0.25">
      <c r="B49" s="14" t="s">
        <v>22</v>
      </c>
      <c r="C49" s="12">
        <v>0</v>
      </c>
    </row>
    <row r="50" spans="2:4" x14ac:dyDescent="0.25">
      <c r="B50" s="14" t="s">
        <v>26</v>
      </c>
      <c r="C50" s="12">
        <v>540</v>
      </c>
    </row>
    <row r="51" spans="2:4" x14ac:dyDescent="0.25">
      <c r="B51" s="14" t="s">
        <v>18</v>
      </c>
      <c r="C51" s="12">
        <v>400</v>
      </c>
    </row>
    <row r="52" spans="2:4" ht="57" x14ac:dyDescent="0.95">
      <c r="B52" s="14" t="s">
        <v>315</v>
      </c>
      <c r="C52" s="18">
        <v>940</v>
      </c>
      <c r="D52" s="17">
        <f>GETPIVOTDATA("Minecraft Season Pass Price",$B$48)</f>
        <v>940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U192"/>
  <sheetViews>
    <sheetView showGridLines="0" showRowColHeaders="0" tabSelected="1" zoomScaleNormal="100" workbookViewId="0">
      <selection activeCell="J38" sqref="J38"/>
    </sheetView>
  </sheetViews>
  <sheetFormatPr defaultRowHeight="15" x14ac:dyDescent="0.25"/>
  <cols>
    <col min="1" max="1" width="27.42578125" style="4" customWidth="1"/>
    <col min="2" max="2" width="3.5703125" customWidth="1"/>
    <col min="3" max="3" width="7.28515625" customWidth="1"/>
    <col min="4" max="4" width="3.7109375" customWidth="1"/>
    <col min="6" max="6" width="9.140625" customWidth="1"/>
    <col min="12" max="12" width="6.5703125" customWidth="1"/>
  </cols>
  <sheetData>
    <row r="2" spans="1:21" ht="32.25" customHeight="1" thickBot="1" x14ac:dyDescent="0.5">
      <c r="C2" s="20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9"/>
      <c r="S2" s="19"/>
      <c r="T2" s="19"/>
      <c r="U2" s="19"/>
    </row>
    <row r="3" spans="1:21" ht="32.25" customHeight="1" thickTop="1" x14ac:dyDescent="0.25"/>
    <row r="4" spans="1:21" s="7" customFormat="1" ht="18" customHeight="1" x14ac:dyDescent="0.25">
      <c r="A4" s="4"/>
    </row>
    <row r="5" spans="1:21" s="7" customFormat="1" ht="24.75" customHeight="1" x14ac:dyDescent="0.25">
      <c r="A5" s="4"/>
    </row>
    <row r="6" spans="1:21" s="7" customFormat="1" ht="27.75" customHeight="1" x14ac:dyDescent="0.25">
      <c r="A6" s="4"/>
    </row>
    <row r="7" spans="1:21" s="7" customFormat="1" ht="28.5" customHeight="1" x14ac:dyDescent="0.25">
      <c r="A7" s="4"/>
    </row>
    <row r="8" spans="1:21" s="7" customFormat="1" ht="29.25" customHeight="1" x14ac:dyDescent="0.25">
      <c r="A8" s="4"/>
    </row>
    <row r="9" spans="1:21" s="7" customFormat="1" x14ac:dyDescent="0.25">
      <c r="A9" s="4"/>
    </row>
    <row r="10" spans="1:21" s="7" customFormat="1" x14ac:dyDescent="0.25">
      <c r="A10" s="4"/>
    </row>
    <row r="11" spans="1:21" s="7" customFormat="1" x14ac:dyDescent="0.25">
      <c r="A11" s="4"/>
    </row>
    <row r="12" spans="1:21" s="7" customFormat="1" x14ac:dyDescent="0.25">
      <c r="A12" s="4"/>
    </row>
    <row r="13" spans="1:21" s="7" customFormat="1" x14ac:dyDescent="0.25">
      <c r="A13" s="4"/>
    </row>
    <row r="14" spans="1:21" s="7" customFormat="1" x14ac:dyDescent="0.25">
      <c r="A14" s="4"/>
    </row>
    <row r="15" spans="1:21" s="7" customFormat="1" x14ac:dyDescent="0.25">
      <c r="A15" s="4"/>
    </row>
    <row r="16" spans="1:21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ADS 2024.2M</cp:lastModifiedBy>
  <dcterms:created xsi:type="dcterms:W3CDTF">2024-12-19T13:13:10Z</dcterms:created>
  <dcterms:modified xsi:type="dcterms:W3CDTF">2025-11-12T20:18:58Z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